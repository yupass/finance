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S542114\Desktop\memory express note pro\"/>
    </mc:Choice>
  </mc:AlternateContent>
  <xr:revisionPtr revIDLastSave="0" documentId="13_ncr:1_{5B16E239-ED27-491E-92BC-92BE7CC10EBA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ontract Theory" sheetId="4" r:id="rId1"/>
    <sheet name="Monte Carlo pricing" sheetId="3" r:id="rId2"/>
    <sheet name="Simulation results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2" i="5"/>
  <c r="C34" i="3"/>
  <c r="E41" i="3"/>
  <c r="E40" i="3"/>
  <c r="E42" i="3"/>
  <c r="E43" i="3"/>
  <c r="E44" i="3"/>
  <c r="F6" i="3"/>
  <c r="F9" i="3" l="1"/>
  <c r="C21" i="3"/>
  <c r="C24" i="3"/>
  <c r="C28" i="3"/>
  <c r="C27" i="3"/>
  <c r="C26" i="3"/>
  <c r="C25" i="3"/>
  <c r="C32" i="3"/>
  <c r="C29" i="3"/>
  <c r="C33" i="3"/>
  <c r="C30" i="3"/>
  <c r="C31" i="3"/>
</calcChain>
</file>

<file path=xl/sharedStrings.xml><?xml version="1.0" encoding="utf-8"?>
<sst xmlns="http://schemas.openxmlformats.org/spreadsheetml/2006/main" count="88" uniqueCount="83">
  <si>
    <t>principal</t>
  </si>
  <si>
    <t>price</t>
  </si>
  <si>
    <t>n</t>
  </si>
  <si>
    <t>seed</t>
  </si>
  <si>
    <t>S0</t>
  </si>
  <si>
    <t>V0</t>
  </si>
  <si>
    <t>r0</t>
  </si>
  <si>
    <t>kappa</t>
  </si>
  <si>
    <t>theta</t>
  </si>
  <si>
    <t>Lambda</t>
  </si>
  <si>
    <t>alpha</t>
  </si>
  <si>
    <t>gamma</t>
  </si>
  <si>
    <t>sigma</t>
  </si>
  <si>
    <t>modelR</t>
  </si>
  <si>
    <t>rhoVS</t>
  </si>
  <si>
    <t>rhoVr</t>
  </si>
  <si>
    <t>rhorS</t>
  </si>
  <si>
    <t>strike</t>
  </si>
  <si>
    <t>eventualCoupon</t>
  </si>
  <si>
    <t>T</t>
  </si>
  <si>
    <t>nSteps</t>
  </si>
  <si>
    <t>stderr</t>
  </si>
  <si>
    <t>Monte Carlo parameters</t>
  </si>
  <si>
    <t>time steps per year</t>
  </si>
  <si>
    <t>random number seed</t>
  </si>
  <si>
    <t>process parameters</t>
  </si>
  <si>
    <t>inital stock price</t>
  </si>
  <si>
    <t>initial squared volatility</t>
  </si>
  <si>
    <t>initial spot rate</t>
  </si>
  <si>
    <t>mean reversion speed of V</t>
  </si>
  <si>
    <t>long term V</t>
  </si>
  <si>
    <t xml:space="preserve">vol of vol </t>
  </si>
  <si>
    <t>mean reversion speed of r</t>
  </si>
  <si>
    <t>long term r</t>
  </si>
  <si>
    <t>volatility parameter of r</t>
  </si>
  <si>
    <t>istantaneous correlation between the Wieners driving V and S</t>
  </si>
  <si>
    <t>istantaneous correlation between the Wieners driving V and r</t>
  </si>
  <si>
    <t>istantaneous correlation between the Wieners driving r and S</t>
  </si>
  <si>
    <t>Contractual parmeters</t>
  </si>
  <si>
    <t>Output:</t>
  </si>
  <si>
    <t>0=Vasicek, 1=CIR, 2=translated CIR</t>
  </si>
  <si>
    <t>ell</t>
  </si>
  <si>
    <t>translation of the short rate model (r = x - ell)</t>
  </si>
  <si>
    <t>sigma0</t>
  </si>
  <si>
    <t>long term sigma</t>
  </si>
  <si>
    <t>number of paths</t>
  </si>
  <si>
    <t>coup. Thresholds</t>
  </si>
  <si>
    <t>red.thresholds</t>
  </si>
  <si>
    <t>early amount</t>
  </si>
  <si>
    <t>barrier</t>
  </si>
  <si>
    <t>DELTA</t>
  </si>
  <si>
    <t xml:space="preserve">GAMMA </t>
  </si>
  <si>
    <t xml:space="preserve">THETA </t>
  </si>
  <si>
    <t xml:space="preserve">RHO </t>
  </si>
  <si>
    <t>VEGA</t>
  </si>
  <si>
    <t>Increment</t>
  </si>
  <si>
    <t>RELEVANT GREEKS</t>
  </si>
  <si>
    <t>value</t>
  </si>
  <si>
    <t>increment</t>
  </si>
  <si>
    <t>Price up</t>
  </si>
  <si>
    <t>Price down</t>
  </si>
  <si>
    <t>Credit parameters</t>
  </si>
  <si>
    <t>hazard0</t>
  </si>
  <si>
    <t>Credit process parameters</t>
  </si>
  <si>
    <t>istantaneous probability of default</t>
  </si>
  <si>
    <t>TIME HORIZON</t>
  </si>
  <si>
    <t>frequency: annually</t>
  </si>
  <si>
    <t>CONDITIONAL COUPON VALUATION AREA</t>
  </si>
  <si>
    <t>EARLY REDEMPTION VALUATION AREA</t>
  </si>
  <si>
    <t>Pricing date</t>
  </si>
  <si>
    <t>VAL1</t>
  </si>
  <si>
    <t>VAL2</t>
  </si>
  <si>
    <t>VAL3</t>
  </si>
  <si>
    <t>VAL4</t>
  </si>
  <si>
    <t>VAL5</t>
  </si>
  <si>
    <t>ASSUMPTIONS</t>
  </si>
  <si>
    <t>early redemption dates = payment dates = valuation dates = observation dates</t>
  </si>
  <si>
    <t>MATURITY VALUATION AREA</t>
  </si>
  <si>
    <t>stderror</t>
  </si>
  <si>
    <t>nsteps</t>
  </si>
  <si>
    <t>mean reversion speed of hazard</t>
  </si>
  <si>
    <t>long term hazard</t>
  </si>
  <si>
    <t>volatility of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</si>
</sst>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%"/>
    <numFmt numFmtId="165" formatCode="0.000000000"/>
    <numFmt numFmtId="166" formatCode="0.0000000000"/>
    <numFmt numFmtId="167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D7F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5" borderId="0" xfId="0" applyFill="1"/>
    <xf numFmtId="10" fontId="0" fillId="5" borderId="0" xfId="0" applyNumberForma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9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4" xfId="0" applyFill="1" applyBorder="1"/>
    <xf numFmtId="9" fontId="0" fillId="0" borderId="0" xfId="1" applyFont="1"/>
    <xf numFmtId="164" fontId="0" fillId="4" borderId="4" xfId="1" applyNumberFormat="1" applyFont="1" applyFill="1" applyBorder="1"/>
    <xf numFmtId="164" fontId="0" fillId="4" borderId="6" xfId="0" applyNumberFormat="1" applyFill="1" applyBorder="1"/>
    <xf numFmtId="2" fontId="0" fillId="5" borderId="0" xfId="0" applyNumberFormat="1" applyFill="1"/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166" fontId="0" fillId="3" borderId="0" xfId="0" applyNumberFormat="1" applyFill="1"/>
    <xf numFmtId="165" fontId="0" fillId="0" borderId="0" xfId="0" applyNumberFormat="1"/>
    <xf numFmtId="0" fontId="0" fillId="6" borderId="0" xfId="0" applyFill="1"/>
    <xf numFmtId="0" fontId="0" fillId="6" borderId="0" xfId="0" applyFont="1" applyFill="1"/>
    <xf numFmtId="0" fontId="0" fillId="8" borderId="0" xfId="0" applyFill="1"/>
    <xf numFmtId="14" fontId="0" fillId="0" borderId="0" xfId="0" applyNumberFormat="1"/>
    <xf numFmtId="0" fontId="0" fillId="0" borderId="0" xfId="0" applyFill="1"/>
    <xf numFmtId="166" fontId="0" fillId="0" borderId="0" xfId="0" applyNumberFormat="1" applyFill="1"/>
    <xf numFmtId="167" fontId="0" fillId="0" borderId="0" xfId="0" applyNumberFormat="1" applyFill="1"/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1" defaultTableStyle="TableStyleMedium2" defaultPivotStyle="PivotStyleLight16">
    <tableStyle name="Invisible" pivot="0" table="0" count="0" xr9:uid="{650DF28E-085E-42A6-8116-82BB325C6521}"/>
  </tableStyles>
  <colors>
    <mruColors>
      <color rgb="FFFDD7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428625</xdr:colOff>
      <xdr:row>2</xdr:row>
      <xdr:rowOff>152400</xdr:rowOff>
    </xdr:from>
    <xdr:to>
      <xdr:col>18</xdr:col>
      <xdr:colOff>47625</xdr:colOff>
      <xdr:row>7</xdr:row>
      <xdr:rowOff>57150</xdr:rowOff>
    </xdr:to>
    <xdr:cxnSp macro="">
      <xdr:nvCxnSpPr>
        <xdr:cNvPr id="2" name="Connettore 2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 flipV="1">
          <a:off x="9906000" y="923925"/>
          <a:ext cx="1447800" cy="923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9525</xdr:rowOff>
        </xdr:from>
        <xdr:to>
          <xdr:col>7</xdr:col>
          <xdr:colOff>9525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E97C-913B-40DA-B57C-E88E4A658EA7}">
  <sheetPr codeName="Foglio1"/>
  <dimension ref="A1:T9"/>
  <sheetViews>
    <sheetView workbookViewId="0">
      <selection activeCell="E25" sqref="E25"/>
    </sheetView>
  </sheetViews>
  <sheetFormatPr defaultRowHeight="15" x14ac:dyDescent="0.25"/>
  <sheetData>
    <row r="1" spans="1:20" x14ac:dyDescent="0.25">
      <c r="A1" t="s">
        <v>65</v>
      </c>
      <c r="D1" t="s">
        <v>66</v>
      </c>
    </row>
    <row r="2" spans="1:20" x14ac:dyDescent="0.25">
      <c r="D2" s="29" t="s">
        <v>67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20" x14ac:dyDescent="0.25">
      <c r="D3" s="30" t="s">
        <v>68</v>
      </c>
      <c r="E3" s="30"/>
      <c r="F3" s="30"/>
      <c r="G3" s="30"/>
      <c r="H3" s="30"/>
      <c r="I3" s="30"/>
      <c r="J3" s="30"/>
      <c r="K3" s="30"/>
      <c r="L3" s="30"/>
      <c r="M3" s="30"/>
      <c r="P3" s="4"/>
    </row>
    <row r="4" spans="1:20" x14ac:dyDescent="0.25">
      <c r="A4" s="24" t="s">
        <v>69</v>
      </c>
      <c r="B4" s="24"/>
      <c r="C4" s="24"/>
      <c r="D4" s="24" t="s">
        <v>70</v>
      </c>
      <c r="E4" s="24"/>
      <c r="F4" s="24"/>
      <c r="G4" s="24" t="s">
        <v>71</v>
      </c>
      <c r="H4" s="24"/>
      <c r="I4" s="24"/>
      <c r="J4" s="24" t="s">
        <v>72</v>
      </c>
      <c r="K4" s="24"/>
      <c r="L4" s="24"/>
      <c r="M4" s="24" t="s">
        <v>73</v>
      </c>
      <c r="N4" s="24"/>
      <c r="O4" s="24"/>
      <c r="P4" s="24" t="s">
        <v>74</v>
      </c>
    </row>
    <row r="5" spans="1:20" x14ac:dyDescent="0.25">
      <c r="A5" s="25">
        <v>45185</v>
      </c>
      <c r="D5" s="25">
        <v>45551</v>
      </c>
      <c r="E5" s="25"/>
      <c r="G5" s="25">
        <v>45916</v>
      </c>
      <c r="H5" s="25"/>
      <c r="J5" s="25">
        <v>46281</v>
      </c>
      <c r="K5" s="25"/>
      <c r="M5" s="25">
        <v>46646</v>
      </c>
      <c r="N5" s="25"/>
      <c r="P5" s="25">
        <v>47012</v>
      </c>
      <c r="Q5" s="25"/>
      <c r="S5" s="25"/>
      <c r="T5" s="25"/>
    </row>
    <row r="6" spans="1:20" x14ac:dyDescent="0.25">
      <c r="A6" s="25"/>
      <c r="D6" s="25"/>
      <c r="G6" s="25"/>
      <c r="J6" s="25"/>
      <c r="M6" s="25"/>
      <c r="P6" s="25"/>
      <c r="S6" s="25"/>
    </row>
    <row r="7" spans="1:20" x14ac:dyDescent="0.25">
      <c r="A7" s="25" t="s">
        <v>75</v>
      </c>
      <c r="D7" s="25"/>
      <c r="G7" s="25"/>
      <c r="J7" s="25"/>
      <c r="M7" s="25"/>
      <c r="P7" s="25"/>
      <c r="S7" s="25"/>
    </row>
    <row r="8" spans="1:20" x14ac:dyDescent="0.25">
      <c r="A8" t="s">
        <v>76</v>
      </c>
      <c r="S8" t="s">
        <v>77</v>
      </c>
    </row>
    <row r="9" spans="1:20" x14ac:dyDescent="0.25">
      <c r="A9" s="25"/>
      <c r="D9" s="25"/>
      <c r="G9" s="25"/>
      <c r="J9" s="25"/>
      <c r="M9" s="25"/>
      <c r="P9" s="25"/>
      <c r="S9" s="25"/>
    </row>
  </sheetData>
  <mergeCells count="2">
    <mergeCell ref="D2:P2"/>
    <mergeCell ref="D3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7E3A6-6FB1-4561-804A-1E158DBE4C97}">
  <sheetPr codeName="Foglio2"/>
  <dimension ref="A1:N51"/>
  <sheetViews>
    <sheetView zoomScaleNormal="100" workbookViewId="0">
      <selection activeCell="D40" sqref="D40"/>
    </sheetView>
  </sheetViews>
  <sheetFormatPr defaultRowHeight="15" x14ac:dyDescent="0.25"/>
  <cols>
    <col min="1" max="1" width="22.85546875" bestFit="1" customWidth="1"/>
    <col min="2" max="2" width="15.85546875" bestFit="1" customWidth="1"/>
    <col min="3" max="3" width="14.7109375" bestFit="1" customWidth="1"/>
    <col min="4" max="4" width="57.28515625" bestFit="1" customWidth="1"/>
    <col min="5" max="5" width="15.28515625" bestFit="1" customWidth="1"/>
    <col min="7" max="7" width="15.7109375" bestFit="1" customWidth="1"/>
    <col min="8" max="8" width="9.5703125" bestFit="1" customWidth="1"/>
    <col min="9" max="9" width="24.5703125" bestFit="1" customWidth="1"/>
  </cols>
  <sheetData>
    <row r="1" spans="1:14" x14ac:dyDescent="0.25">
      <c r="A1" s="2" t="s">
        <v>22</v>
      </c>
      <c r="B1" s="3" t="s">
        <v>2</v>
      </c>
      <c r="C1" s="3">
        <v>10</v>
      </c>
      <c r="D1" t="s">
        <v>45</v>
      </c>
      <c r="I1" s="2" t="s">
        <v>63</v>
      </c>
      <c r="L1" s="23" t="s">
        <v>10</v>
      </c>
      <c r="M1" s="23">
        <v>0.1</v>
      </c>
      <c r="N1" t="s">
        <v>80</v>
      </c>
    </row>
    <row r="2" spans="1:14" x14ac:dyDescent="0.25">
      <c r="A2" s="2"/>
      <c r="B2" s="3" t="s">
        <v>20</v>
      </c>
      <c r="C2" s="3">
        <v>365</v>
      </c>
      <c r="D2" t="s">
        <v>23</v>
      </c>
      <c r="E2" s="2" t="s">
        <v>39</v>
      </c>
      <c r="F2" s="4" t="s">
        <v>1</v>
      </c>
      <c r="G2" s="20">
        <v>1085.11901704453</v>
      </c>
      <c r="L2" s="23" t="s">
        <v>11</v>
      </c>
      <c r="M2" s="23">
        <v>0.05</v>
      </c>
      <c r="N2" t="s">
        <v>81</v>
      </c>
    </row>
    <row r="3" spans="1:14" x14ac:dyDescent="0.25">
      <c r="A3" s="2"/>
      <c r="B3" s="3" t="s">
        <v>3</v>
      </c>
      <c r="C3" s="3">
        <v>131232</v>
      </c>
      <c r="D3" t="s">
        <v>24</v>
      </c>
      <c r="F3" s="4" t="s">
        <v>21</v>
      </c>
      <c r="G3" s="4">
        <v>26.51143793201112</v>
      </c>
      <c r="L3" s="23" t="s">
        <v>12</v>
      </c>
      <c r="M3" s="23">
        <v>0.03</v>
      </c>
      <c r="N3" t="s">
        <v>82</v>
      </c>
    </row>
    <row r="4" spans="1:14" ht="15.75" thickBot="1" x14ac:dyDescent="0.3">
      <c r="A4" s="2" t="s">
        <v>61</v>
      </c>
      <c r="B4" s="23" t="s">
        <v>62</v>
      </c>
      <c r="C4" s="22">
        <v>5.0000000000000001E-3</v>
      </c>
      <c r="D4" t="s">
        <v>64</v>
      </c>
    </row>
    <row r="5" spans="1:14" x14ac:dyDescent="0.25">
      <c r="A5" s="2" t="s">
        <v>25</v>
      </c>
      <c r="B5" s="7" t="s">
        <v>4</v>
      </c>
      <c r="C5" s="8">
        <v>4279.75</v>
      </c>
      <c r="D5" t="s">
        <v>26</v>
      </c>
    </row>
    <row r="6" spans="1:14" x14ac:dyDescent="0.25">
      <c r="A6" s="2"/>
      <c r="B6" s="9" t="s">
        <v>5</v>
      </c>
      <c r="C6" s="15">
        <v>0.04</v>
      </c>
      <c r="D6" t="s">
        <v>27</v>
      </c>
      <c r="E6" t="s">
        <v>43</v>
      </c>
      <c r="F6" s="14">
        <f>SQRT(C6)</f>
        <v>0.2</v>
      </c>
    </row>
    <row r="7" spans="1:14" ht="15.75" thickBot="1" x14ac:dyDescent="0.3">
      <c r="A7" s="2"/>
      <c r="B7" s="11" t="s">
        <v>6</v>
      </c>
      <c r="C7" s="16">
        <v>0.01</v>
      </c>
      <c r="D7" t="s">
        <v>28</v>
      </c>
    </row>
    <row r="8" spans="1:14" x14ac:dyDescent="0.25">
      <c r="A8" s="2"/>
      <c r="B8" s="7" t="s">
        <v>7</v>
      </c>
      <c r="C8" s="8">
        <v>0.2</v>
      </c>
      <c r="D8" t="s">
        <v>29</v>
      </c>
    </row>
    <row r="9" spans="1:14" x14ac:dyDescent="0.25">
      <c r="A9" s="2"/>
      <c r="B9" s="9" t="s">
        <v>8</v>
      </c>
      <c r="C9" s="15">
        <v>0.09</v>
      </c>
      <c r="D9" t="s">
        <v>30</v>
      </c>
      <c r="E9" t="s">
        <v>44</v>
      </c>
      <c r="F9" s="14">
        <f>SQRT(C9)</f>
        <v>0.3</v>
      </c>
    </row>
    <row r="10" spans="1:14" ht="15.75" thickBot="1" x14ac:dyDescent="0.3">
      <c r="A10" s="2"/>
      <c r="B10" s="11" t="s">
        <v>9</v>
      </c>
      <c r="C10" s="12">
        <v>0.5</v>
      </c>
      <c r="D10" t="s">
        <v>31</v>
      </c>
    </row>
    <row r="11" spans="1:14" x14ac:dyDescent="0.25">
      <c r="A11" s="2"/>
      <c r="B11" s="7" t="s">
        <v>10</v>
      </c>
      <c r="C11" s="8">
        <v>0.2</v>
      </c>
      <c r="D11" t="s">
        <v>32</v>
      </c>
    </row>
    <row r="12" spans="1:14" x14ac:dyDescent="0.25">
      <c r="A12" s="2"/>
      <c r="B12" s="9" t="s">
        <v>11</v>
      </c>
      <c r="C12" s="10">
        <v>0.03</v>
      </c>
      <c r="D12" t="s">
        <v>33</v>
      </c>
    </row>
    <row r="13" spans="1:14" x14ac:dyDescent="0.25">
      <c r="A13" s="2"/>
      <c r="B13" s="9" t="s">
        <v>12</v>
      </c>
      <c r="C13" s="10">
        <v>7.0000000000000007E-2</v>
      </c>
      <c r="D13" t="s">
        <v>34</v>
      </c>
    </row>
    <row r="14" spans="1:14" x14ac:dyDescent="0.25">
      <c r="A14" s="2"/>
      <c r="B14" s="9" t="s">
        <v>41</v>
      </c>
      <c r="C14" s="10">
        <v>0</v>
      </c>
      <c r="D14" t="s">
        <v>42</v>
      </c>
    </row>
    <row r="15" spans="1:14" ht="15.75" thickBot="1" x14ac:dyDescent="0.3">
      <c r="A15" s="2"/>
      <c r="B15" s="11" t="s">
        <v>13</v>
      </c>
      <c r="C15" s="12">
        <v>1</v>
      </c>
      <c r="D15" t="s">
        <v>40</v>
      </c>
    </row>
    <row r="16" spans="1:14" x14ac:dyDescent="0.25">
      <c r="A16" s="2"/>
      <c r="B16" s="7" t="s">
        <v>14</v>
      </c>
      <c r="C16" s="8">
        <v>-0.7</v>
      </c>
      <c r="D16" t="s">
        <v>35</v>
      </c>
    </row>
    <row r="17" spans="1:11" x14ac:dyDescent="0.25">
      <c r="A17" s="2"/>
      <c r="B17" s="9" t="s">
        <v>15</v>
      </c>
      <c r="C17" s="13">
        <v>0.2</v>
      </c>
      <c r="D17" t="s">
        <v>36</v>
      </c>
    </row>
    <row r="18" spans="1:11" ht="15.75" thickBot="1" x14ac:dyDescent="0.3">
      <c r="A18" s="2"/>
      <c r="B18" s="11" t="s">
        <v>16</v>
      </c>
      <c r="C18" s="12">
        <v>0.2</v>
      </c>
      <c r="D18" t="s">
        <v>37</v>
      </c>
    </row>
    <row r="19" spans="1:11" x14ac:dyDescent="0.25">
      <c r="A19" s="2" t="s">
        <v>38</v>
      </c>
      <c r="B19" s="5" t="s">
        <v>0</v>
      </c>
      <c r="C19" s="5">
        <v>1000</v>
      </c>
    </row>
    <row r="20" spans="1:11" x14ac:dyDescent="0.25">
      <c r="B20" s="5"/>
      <c r="C20" s="6"/>
    </row>
    <row r="21" spans="1:11" x14ac:dyDescent="0.25">
      <c r="B21" s="5" t="s">
        <v>17</v>
      </c>
      <c r="C21" s="5">
        <f xml:space="preserve"> C5</f>
        <v>4279.75</v>
      </c>
      <c r="E21" s="2"/>
      <c r="G21" s="27"/>
      <c r="H21" s="26"/>
    </row>
    <row r="22" spans="1:11" x14ac:dyDescent="0.25">
      <c r="B22" s="5" t="s">
        <v>18</v>
      </c>
      <c r="C22" s="6">
        <v>6.3500000000000001E-2</v>
      </c>
      <c r="F22" s="26"/>
    </row>
    <row r="23" spans="1:11" x14ac:dyDescent="0.25">
      <c r="B23" s="5" t="s">
        <v>19</v>
      </c>
      <c r="C23" s="5">
        <v>5</v>
      </c>
    </row>
    <row r="24" spans="1:11" x14ac:dyDescent="0.25">
      <c r="B24" s="5" t="s">
        <v>46</v>
      </c>
      <c r="C24" s="17">
        <f>1*C5</f>
        <v>4279.75</v>
      </c>
    </row>
    <row r="25" spans="1:11" x14ac:dyDescent="0.25">
      <c r="B25" s="5"/>
      <c r="C25" s="17">
        <f>0.95*C5</f>
        <v>4065.7624999999998</v>
      </c>
    </row>
    <row r="26" spans="1:11" x14ac:dyDescent="0.25">
      <c r="B26" s="5"/>
      <c r="C26" s="17">
        <f>0.9*C5</f>
        <v>3851.7750000000001</v>
      </c>
    </row>
    <row r="27" spans="1:11" x14ac:dyDescent="0.25">
      <c r="B27" s="5"/>
      <c r="C27" s="17">
        <f>0.85*C5</f>
        <v>3637.7874999999999</v>
      </c>
    </row>
    <row r="28" spans="1:11" x14ac:dyDescent="0.25">
      <c r="B28" s="5"/>
      <c r="C28" s="17">
        <f>0.8*C5</f>
        <v>3423.8</v>
      </c>
      <c r="H28" s="26"/>
      <c r="K28" s="26"/>
    </row>
    <row r="29" spans="1:11" x14ac:dyDescent="0.25">
      <c r="B29" s="5" t="s">
        <v>47</v>
      </c>
      <c r="C29" s="17">
        <f>100%*C5</f>
        <v>4279.75</v>
      </c>
    </row>
    <row r="30" spans="1:11" x14ac:dyDescent="0.25">
      <c r="B30" s="5"/>
      <c r="C30" s="17">
        <f>0.95*C5</f>
        <v>4065.7624999999998</v>
      </c>
      <c r="H30" s="26"/>
      <c r="K30" s="26"/>
    </row>
    <row r="31" spans="1:11" x14ac:dyDescent="0.25">
      <c r="B31" s="5"/>
      <c r="C31" s="17">
        <f>0.9*C5</f>
        <v>3851.7750000000001</v>
      </c>
    </row>
    <row r="32" spans="1:11" x14ac:dyDescent="0.25">
      <c r="B32" s="5"/>
      <c r="C32" s="17">
        <f>0.85*C5</f>
        <v>3637.7874999999999</v>
      </c>
    </row>
    <row r="33" spans="1:10" x14ac:dyDescent="0.25">
      <c r="B33" s="5" t="s">
        <v>48</v>
      </c>
      <c r="C33" s="5">
        <f>C19</f>
        <v>1000</v>
      </c>
    </row>
    <row r="34" spans="1:10" x14ac:dyDescent="0.25">
      <c r="B34" s="5" t="s">
        <v>49</v>
      </c>
      <c r="C34" s="17">
        <f>65%*C5</f>
        <v>2781.8375000000001</v>
      </c>
    </row>
    <row r="35" spans="1:10" x14ac:dyDescent="0.25">
      <c r="H35" s="26"/>
    </row>
    <row r="37" spans="1:10" x14ac:dyDescent="0.25">
      <c r="A37" s="18" t="s">
        <v>58</v>
      </c>
      <c r="B37" s="19">
        <v>0.01</v>
      </c>
      <c r="H37" s="26"/>
      <c r="I37" s="26"/>
      <c r="J37" s="26"/>
    </row>
    <row r="38" spans="1:10" x14ac:dyDescent="0.25">
      <c r="A38" s="31" t="s">
        <v>56</v>
      </c>
      <c r="B38" s="31"/>
    </row>
    <row r="39" spans="1:10" x14ac:dyDescent="0.25">
      <c r="B39" t="s">
        <v>55</v>
      </c>
      <c r="C39" t="s">
        <v>59</v>
      </c>
      <c r="D39" t="s">
        <v>60</v>
      </c>
      <c r="E39" t="s">
        <v>57</v>
      </c>
    </row>
    <row r="40" spans="1:10" x14ac:dyDescent="0.25">
      <c r="A40" t="s">
        <v>50</v>
      </c>
      <c r="B40">
        <v>42.797499999999999</v>
      </c>
      <c r="C40" s="21">
        <v>1033.6905447699628</v>
      </c>
      <c r="D40" s="21">
        <v>991.06660223570361</v>
      </c>
      <c r="E40">
        <f>(C40 - D40) / (2*B40)</f>
        <v>0.49797234107435229</v>
      </c>
    </row>
    <row r="41" spans="1:10" x14ac:dyDescent="0.25">
      <c r="A41" t="s">
        <v>51</v>
      </c>
      <c r="E41">
        <f>(C40+D40-2*G2) / B40^2</f>
        <v>-7.9427179231444461E-2</v>
      </c>
      <c r="I41" s="28"/>
      <c r="J41" s="28"/>
    </row>
    <row r="42" spans="1:10" x14ac:dyDescent="0.25">
      <c r="A42" t="s">
        <v>52</v>
      </c>
      <c r="B42">
        <v>0.05</v>
      </c>
      <c r="C42">
        <v>869.1329019108324</v>
      </c>
      <c r="D42">
        <v>1063.7422885819487</v>
      </c>
      <c r="E42">
        <f>(C42 - D42) / (2*B42)</f>
        <v>-1946.0938667111634</v>
      </c>
      <c r="H42" s="26"/>
    </row>
    <row r="43" spans="1:10" x14ac:dyDescent="0.25">
      <c r="A43" t="s">
        <v>53</v>
      </c>
      <c r="B43">
        <v>1E-4</v>
      </c>
      <c r="C43" s="21">
        <v>1059.7440003852155</v>
      </c>
      <c r="D43" s="21">
        <v>1029.6610312551829</v>
      </c>
      <c r="E43">
        <f>(C43 - D43) / (2*B43)</f>
        <v>150414.84565016275</v>
      </c>
    </row>
    <row r="44" spans="1:10" x14ac:dyDescent="0.25">
      <c r="A44" t="s">
        <v>54</v>
      </c>
      <c r="B44" s="1">
        <v>7.000000000000001E-4</v>
      </c>
      <c r="C44" s="21">
        <v>1078.5184127361395</v>
      </c>
      <c r="D44" s="21">
        <v>986.85311658885905</v>
      </c>
      <c r="E44">
        <f>(C44 - D44) / (2*B44)</f>
        <v>65475.211533771704</v>
      </c>
      <c r="H44" s="26"/>
    </row>
    <row r="49" spans="8:8" x14ac:dyDescent="0.25">
      <c r="H49" s="26"/>
    </row>
    <row r="51" spans="8:8" x14ac:dyDescent="0.25">
      <c r="H51" s="26"/>
    </row>
  </sheetData>
  <mergeCells count="1">
    <mergeCell ref="A38:B38"/>
  </mergeCell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glio2.pricing">
                <anchor moveWithCells="1" sizeWithCells="1">
                  <from>
                    <xdr:col>4</xdr:col>
                    <xdr:colOff>0</xdr:colOff>
                    <xdr:row>10</xdr:row>
                    <xdr:rowOff>9525</xdr:rowOff>
                  </from>
                  <to>
                    <xdr:col>7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672D-684B-4642-B0E3-4FFED97BA76F}">
  <sheetPr codeName="Foglio3"/>
  <dimension ref="A1:H36"/>
  <sheetViews>
    <sheetView tabSelected="1" workbookViewId="0">
      <selection activeCell="G6" sqref="G6"/>
    </sheetView>
  </sheetViews>
  <sheetFormatPr defaultRowHeight="15" x14ac:dyDescent="0.25"/>
  <cols>
    <col min="3" max="3" width="12" bestFit="1" customWidth="1"/>
  </cols>
  <sheetData>
    <row r="1" spans="1:8" x14ac:dyDescent="0.25">
      <c r="A1" t="s">
        <v>2</v>
      </c>
      <c r="B1" t="s">
        <v>79</v>
      </c>
      <c r="C1" t="s">
        <v>1</v>
      </c>
      <c r="D1" t="s">
        <v>78</v>
      </c>
    </row>
    <row r="2" spans="1:8" x14ac:dyDescent="0.25">
      <c r="A2">
        <v>20000</v>
      </c>
      <c r="B2" s="26">
        <v>10</v>
      </c>
      <c r="C2">
        <v>100.29125281119232</v>
      </c>
      <c r="D2">
        <v>0.21475627956262527</v>
      </c>
      <c r="G2">
        <f>C2*10</f>
        <v>1002.9125281119232</v>
      </c>
      <c r="H2">
        <f>D2*10</f>
        <v>2.1475627956262526</v>
      </c>
    </row>
    <row r="3" spans="1:8" x14ac:dyDescent="0.25">
      <c r="A3">
        <v>20000</v>
      </c>
      <c r="B3">
        <v>50</v>
      </c>
      <c r="C3">
        <v>101.41196859905888</v>
      </c>
      <c r="D3">
        <v>0.19451961723110187</v>
      </c>
      <c r="G3">
        <f t="shared" ref="G3:G36" si="0">C3*10</f>
        <v>1014.1196859905888</v>
      </c>
      <c r="H3">
        <f t="shared" ref="H3:H36" si="1">D3*10</f>
        <v>1.9451961723110187</v>
      </c>
    </row>
    <row r="4" spans="1:8" x14ac:dyDescent="0.25">
      <c r="A4">
        <v>20000</v>
      </c>
      <c r="B4" s="26">
        <v>100</v>
      </c>
      <c r="C4">
        <v>101.43917449307216</v>
      </c>
      <c r="D4">
        <v>0.19154221969872792</v>
      </c>
      <c r="G4">
        <f t="shared" si="0"/>
        <v>1014.3917449307216</v>
      </c>
      <c r="H4">
        <f t="shared" si="1"/>
        <v>1.9154221969872793</v>
      </c>
    </row>
    <row r="5" spans="1:8" x14ac:dyDescent="0.25">
      <c r="A5">
        <v>20000</v>
      </c>
      <c r="B5">
        <v>150</v>
      </c>
      <c r="C5">
        <v>101.51469252832148</v>
      </c>
      <c r="D5">
        <v>0.19021074662578299</v>
      </c>
      <c r="G5">
        <f t="shared" si="0"/>
        <v>1015.1469252832147</v>
      </c>
      <c r="H5">
        <f t="shared" si="1"/>
        <v>1.9021074662578299</v>
      </c>
    </row>
    <row r="6" spans="1:8" x14ac:dyDescent="0.25">
      <c r="A6">
        <v>20000</v>
      </c>
      <c r="B6">
        <v>165</v>
      </c>
      <c r="C6">
        <v>101.53119417021456</v>
      </c>
      <c r="D6">
        <v>0.19019782191739051</v>
      </c>
      <c r="G6">
        <f t="shared" si="0"/>
        <v>1015.3119417021456</v>
      </c>
      <c r="H6">
        <f t="shared" si="1"/>
        <v>1.9019782191739052</v>
      </c>
    </row>
    <row r="7" spans="1:8" x14ac:dyDescent="0.25">
      <c r="A7">
        <v>20000</v>
      </c>
      <c r="B7">
        <v>200</v>
      </c>
      <c r="C7">
        <v>101.55544529450763</v>
      </c>
      <c r="D7">
        <v>0.18789572116706632</v>
      </c>
      <c r="G7">
        <f t="shared" si="0"/>
        <v>1015.5544529450764</v>
      </c>
      <c r="H7">
        <f t="shared" si="1"/>
        <v>1.8789572116706632</v>
      </c>
    </row>
    <row r="8" spans="1:8" x14ac:dyDescent="0.25">
      <c r="A8">
        <v>20000</v>
      </c>
      <c r="B8">
        <v>365</v>
      </c>
      <c r="C8">
        <v>101.67119039691859</v>
      </c>
      <c r="D8">
        <v>0.18666721259749883</v>
      </c>
      <c r="G8">
        <f t="shared" si="0"/>
        <v>1016.7119039691859</v>
      </c>
      <c r="H8">
        <f t="shared" si="1"/>
        <v>1.8666721259749883</v>
      </c>
    </row>
    <row r="9" spans="1:8" x14ac:dyDescent="0.25">
      <c r="A9">
        <v>10000</v>
      </c>
      <c r="B9" s="26">
        <v>10</v>
      </c>
      <c r="C9">
        <v>100.32458141267671</v>
      </c>
      <c r="D9">
        <v>0.30409715525448217</v>
      </c>
      <c r="G9">
        <f t="shared" si="0"/>
        <v>1003.2458141267671</v>
      </c>
      <c r="H9">
        <f t="shared" si="1"/>
        <v>3.0409715525448218</v>
      </c>
    </row>
    <row r="10" spans="1:8" x14ac:dyDescent="0.25">
      <c r="A10">
        <v>10000</v>
      </c>
      <c r="B10">
        <v>50</v>
      </c>
      <c r="C10">
        <v>101.36241974509095</v>
      </c>
      <c r="D10">
        <v>0.27680201783677139</v>
      </c>
      <c r="G10">
        <f t="shared" si="0"/>
        <v>1013.6241974509095</v>
      </c>
      <c r="H10">
        <f t="shared" si="1"/>
        <v>2.7680201783677139</v>
      </c>
    </row>
    <row r="11" spans="1:8" x14ac:dyDescent="0.25">
      <c r="A11">
        <v>10000</v>
      </c>
      <c r="B11" s="26">
        <v>100</v>
      </c>
      <c r="C11" s="26">
        <v>101.56261746173969</v>
      </c>
      <c r="D11" s="26">
        <v>0.27067145618575444</v>
      </c>
      <c r="G11">
        <f t="shared" si="0"/>
        <v>1015.6261746173969</v>
      </c>
      <c r="H11">
        <f t="shared" si="1"/>
        <v>2.7067145618575443</v>
      </c>
    </row>
    <row r="12" spans="1:8" x14ac:dyDescent="0.25">
      <c r="A12">
        <v>10000</v>
      </c>
      <c r="B12">
        <v>150</v>
      </c>
      <c r="C12">
        <v>101.36658444961465</v>
      </c>
      <c r="D12">
        <v>0.27051486782299466</v>
      </c>
      <c r="G12">
        <f t="shared" si="0"/>
        <v>1013.6658444961465</v>
      </c>
      <c r="H12">
        <f t="shared" si="1"/>
        <v>2.7051486782299468</v>
      </c>
    </row>
    <row r="13" spans="1:8" x14ac:dyDescent="0.25">
      <c r="A13">
        <v>10000</v>
      </c>
      <c r="B13">
        <v>165</v>
      </c>
      <c r="C13">
        <v>101.46616017200016</v>
      </c>
      <c r="D13">
        <v>0.26840191293865989</v>
      </c>
      <c r="G13">
        <f t="shared" si="0"/>
        <v>1014.6616017200016</v>
      </c>
      <c r="H13">
        <f t="shared" si="1"/>
        <v>2.6840191293865989</v>
      </c>
    </row>
    <row r="14" spans="1:8" x14ac:dyDescent="0.25">
      <c r="A14">
        <v>10000</v>
      </c>
      <c r="B14">
        <v>200</v>
      </c>
      <c r="C14">
        <v>101.60681696533496</v>
      </c>
      <c r="D14">
        <v>0.26455594313335173</v>
      </c>
      <c r="G14">
        <f t="shared" si="0"/>
        <v>1016.0681696533495</v>
      </c>
      <c r="H14">
        <f t="shared" si="1"/>
        <v>2.6455594313335173</v>
      </c>
    </row>
    <row r="15" spans="1:8" x14ac:dyDescent="0.25">
      <c r="A15">
        <v>10000</v>
      </c>
      <c r="B15">
        <v>365</v>
      </c>
      <c r="C15" s="28">
        <v>101.64392163863731</v>
      </c>
      <c r="D15" s="28">
        <v>0.26434972557425673</v>
      </c>
      <c r="G15">
        <f t="shared" si="0"/>
        <v>1016.4392163863731</v>
      </c>
      <c r="H15">
        <f t="shared" si="1"/>
        <v>2.6434972557425676</v>
      </c>
    </row>
    <row r="16" spans="1:8" x14ac:dyDescent="0.25">
      <c r="A16">
        <v>1000</v>
      </c>
      <c r="B16" s="26">
        <v>10</v>
      </c>
      <c r="C16">
        <v>100.06292700851377</v>
      </c>
      <c r="D16">
        <v>0.97536708132907946</v>
      </c>
      <c r="G16">
        <f t="shared" si="0"/>
        <v>1000.6292700851377</v>
      </c>
      <c r="H16">
        <f t="shared" si="1"/>
        <v>9.7536708132907943</v>
      </c>
    </row>
    <row r="17" spans="1:8" x14ac:dyDescent="0.25">
      <c r="A17">
        <v>1000</v>
      </c>
      <c r="B17">
        <v>50</v>
      </c>
      <c r="C17">
        <v>101.20814988616404</v>
      </c>
      <c r="D17">
        <v>0.86812865360775415</v>
      </c>
      <c r="G17">
        <f t="shared" si="0"/>
        <v>1012.0814988616404</v>
      </c>
      <c r="H17">
        <f t="shared" si="1"/>
        <v>8.6812865360775415</v>
      </c>
    </row>
    <row r="18" spans="1:8" x14ac:dyDescent="0.25">
      <c r="A18">
        <v>1000</v>
      </c>
      <c r="B18" s="26">
        <v>100</v>
      </c>
      <c r="C18">
        <v>102.01792392863894</v>
      </c>
      <c r="D18">
        <v>0.83151980495255773</v>
      </c>
      <c r="G18">
        <f t="shared" si="0"/>
        <v>1020.1792392863894</v>
      </c>
      <c r="H18">
        <f t="shared" si="1"/>
        <v>8.3151980495255771</v>
      </c>
    </row>
    <row r="19" spans="1:8" x14ac:dyDescent="0.25">
      <c r="A19">
        <v>1000</v>
      </c>
      <c r="B19">
        <v>150</v>
      </c>
      <c r="C19">
        <v>101.89647757126939</v>
      </c>
      <c r="D19">
        <v>0.8279531543731794</v>
      </c>
      <c r="G19">
        <f t="shared" si="0"/>
        <v>1018.9647757126938</v>
      </c>
      <c r="H19">
        <f t="shared" si="1"/>
        <v>8.2795315437317942</v>
      </c>
    </row>
    <row r="20" spans="1:8" x14ac:dyDescent="0.25">
      <c r="A20">
        <v>1000</v>
      </c>
      <c r="B20">
        <v>165</v>
      </c>
      <c r="C20">
        <v>101.62950393927922</v>
      </c>
      <c r="D20">
        <v>0.83928208339367916</v>
      </c>
      <c r="G20">
        <f t="shared" si="0"/>
        <v>1016.2950393927922</v>
      </c>
      <c r="H20">
        <f t="shared" si="1"/>
        <v>8.392820833936792</v>
      </c>
    </row>
    <row r="21" spans="1:8" x14ac:dyDescent="0.25">
      <c r="A21">
        <v>1000</v>
      </c>
      <c r="B21">
        <v>200</v>
      </c>
      <c r="C21">
        <v>101.89329394508162</v>
      </c>
      <c r="D21">
        <v>0.80763500228212737</v>
      </c>
      <c r="G21">
        <f t="shared" si="0"/>
        <v>1018.9329394508162</v>
      </c>
      <c r="H21">
        <f t="shared" si="1"/>
        <v>8.0763500228212735</v>
      </c>
    </row>
    <row r="22" spans="1:8" x14ac:dyDescent="0.25">
      <c r="A22">
        <v>1000</v>
      </c>
      <c r="B22">
        <v>365</v>
      </c>
      <c r="C22">
        <v>101.83148268126817</v>
      </c>
      <c r="D22">
        <v>0.84829843208063693</v>
      </c>
      <c r="G22">
        <f t="shared" si="0"/>
        <v>1018.3148268126818</v>
      </c>
      <c r="H22">
        <f t="shared" si="1"/>
        <v>8.48298432080637</v>
      </c>
    </row>
    <row r="23" spans="1:8" x14ac:dyDescent="0.25">
      <c r="A23">
        <v>100</v>
      </c>
      <c r="B23" s="26">
        <v>10</v>
      </c>
      <c r="C23">
        <v>99.304034692715831</v>
      </c>
      <c r="D23">
        <v>2.8343296622712733</v>
      </c>
      <c r="G23">
        <f t="shared" si="0"/>
        <v>993.04034692715834</v>
      </c>
      <c r="H23">
        <f t="shared" si="1"/>
        <v>28.343296622712732</v>
      </c>
    </row>
    <row r="24" spans="1:8" x14ac:dyDescent="0.25">
      <c r="A24">
        <v>100</v>
      </c>
      <c r="B24">
        <v>50</v>
      </c>
      <c r="C24">
        <v>102.66648562841185</v>
      </c>
      <c r="D24">
        <v>2.1366556284501588</v>
      </c>
      <c r="G24">
        <f t="shared" si="0"/>
        <v>1026.6648562841185</v>
      </c>
      <c r="H24">
        <f t="shared" si="1"/>
        <v>21.366556284501588</v>
      </c>
    </row>
    <row r="25" spans="1:8" x14ac:dyDescent="0.25">
      <c r="A25">
        <v>100</v>
      </c>
      <c r="B25" s="26">
        <v>100</v>
      </c>
      <c r="C25">
        <v>99.916072364383453</v>
      </c>
      <c r="D25">
        <v>3.0443625507899461</v>
      </c>
      <c r="G25">
        <f t="shared" si="0"/>
        <v>999.16072364383456</v>
      </c>
      <c r="H25">
        <f t="shared" si="1"/>
        <v>30.443625507899462</v>
      </c>
    </row>
    <row r="26" spans="1:8" x14ac:dyDescent="0.25">
      <c r="A26">
        <v>100</v>
      </c>
      <c r="B26">
        <v>150</v>
      </c>
      <c r="C26">
        <v>99.571613751305478</v>
      </c>
      <c r="D26">
        <v>3.2358542683688194</v>
      </c>
      <c r="G26">
        <f t="shared" si="0"/>
        <v>995.71613751305472</v>
      </c>
      <c r="H26">
        <f t="shared" si="1"/>
        <v>32.358542683688192</v>
      </c>
    </row>
    <row r="27" spans="1:8" x14ac:dyDescent="0.25">
      <c r="A27">
        <v>100</v>
      </c>
      <c r="B27">
        <v>165</v>
      </c>
      <c r="C27">
        <v>101.66833603336043</v>
      </c>
      <c r="D27">
        <v>3.0170493058567018</v>
      </c>
      <c r="G27">
        <f t="shared" si="0"/>
        <v>1016.6833603336044</v>
      </c>
      <c r="H27">
        <f t="shared" si="1"/>
        <v>30.170493058567018</v>
      </c>
    </row>
    <row r="28" spans="1:8" x14ac:dyDescent="0.25">
      <c r="A28">
        <v>100</v>
      </c>
      <c r="B28">
        <v>200</v>
      </c>
      <c r="C28">
        <v>103.6306243521072</v>
      </c>
      <c r="D28">
        <v>2.5593459822118096</v>
      </c>
      <c r="G28">
        <f t="shared" si="0"/>
        <v>1036.306243521072</v>
      </c>
      <c r="H28">
        <f t="shared" si="1"/>
        <v>25.593459822118096</v>
      </c>
    </row>
    <row r="29" spans="1:8" x14ac:dyDescent="0.25">
      <c r="A29">
        <v>100</v>
      </c>
      <c r="B29">
        <v>365</v>
      </c>
      <c r="C29">
        <v>102.25210274633613</v>
      </c>
      <c r="D29">
        <v>2.4452494576214772</v>
      </c>
      <c r="G29">
        <f t="shared" si="0"/>
        <v>1022.5210274633614</v>
      </c>
      <c r="H29">
        <f t="shared" si="1"/>
        <v>24.452494576214772</v>
      </c>
    </row>
    <row r="30" spans="1:8" x14ac:dyDescent="0.25">
      <c r="A30">
        <v>10</v>
      </c>
      <c r="B30">
        <v>10</v>
      </c>
      <c r="C30">
        <v>105.08047772927895</v>
      </c>
      <c r="D30">
        <v>0.57088134264832346</v>
      </c>
      <c r="G30">
        <f t="shared" si="0"/>
        <v>1050.8047772927896</v>
      </c>
      <c r="H30">
        <f t="shared" si="1"/>
        <v>5.7088134264832346</v>
      </c>
    </row>
    <row r="31" spans="1:8" x14ac:dyDescent="0.25">
      <c r="A31">
        <v>10</v>
      </c>
      <c r="B31">
        <v>50</v>
      </c>
      <c r="C31">
        <v>97.385565357758196</v>
      </c>
      <c r="D31">
        <v>11.025076757159683</v>
      </c>
      <c r="G31">
        <f t="shared" si="0"/>
        <v>973.85565357758196</v>
      </c>
      <c r="H31">
        <f t="shared" si="1"/>
        <v>110.25076757159682</v>
      </c>
    </row>
    <row r="32" spans="1:8" x14ac:dyDescent="0.25">
      <c r="A32">
        <v>10</v>
      </c>
      <c r="B32">
        <v>100</v>
      </c>
      <c r="C32">
        <v>102.0771406783773</v>
      </c>
      <c r="D32">
        <v>9.8808482980188526</v>
      </c>
      <c r="G32">
        <f t="shared" si="0"/>
        <v>1020.771406783773</v>
      </c>
      <c r="H32">
        <f t="shared" si="1"/>
        <v>98.808482980188529</v>
      </c>
    </row>
    <row r="33" spans="1:8" x14ac:dyDescent="0.25">
      <c r="A33">
        <v>10</v>
      </c>
      <c r="B33">
        <v>150</v>
      </c>
      <c r="C33">
        <v>95.61479465120361</v>
      </c>
      <c r="D33">
        <v>12.350187130247233</v>
      </c>
      <c r="G33">
        <f t="shared" si="0"/>
        <v>956.14794651203613</v>
      </c>
      <c r="H33">
        <f t="shared" si="1"/>
        <v>123.50187130247234</v>
      </c>
    </row>
    <row r="34" spans="1:8" x14ac:dyDescent="0.25">
      <c r="A34">
        <v>10</v>
      </c>
      <c r="B34">
        <v>165</v>
      </c>
      <c r="C34">
        <v>97.021659636017205</v>
      </c>
      <c r="D34">
        <v>11.599397505157162</v>
      </c>
      <c r="G34">
        <f t="shared" si="0"/>
        <v>970.21659636017205</v>
      </c>
      <c r="H34">
        <f t="shared" si="1"/>
        <v>115.99397505157162</v>
      </c>
    </row>
    <row r="35" spans="1:8" x14ac:dyDescent="0.25">
      <c r="A35">
        <v>10</v>
      </c>
      <c r="B35">
        <v>200</v>
      </c>
      <c r="C35">
        <v>106.04616543740681</v>
      </c>
      <c r="D35">
        <v>9.2525028520956223</v>
      </c>
      <c r="G35">
        <f t="shared" si="0"/>
        <v>1060.4616543740681</v>
      </c>
      <c r="H35">
        <f t="shared" si="1"/>
        <v>92.525028520956226</v>
      </c>
    </row>
    <row r="36" spans="1:8" x14ac:dyDescent="0.25">
      <c r="A36">
        <v>10</v>
      </c>
      <c r="B36">
        <v>365</v>
      </c>
      <c r="C36">
        <v>108.51190170445297</v>
      </c>
      <c r="D36">
        <v>2.6511437932011148</v>
      </c>
      <c r="G36">
        <f t="shared" si="0"/>
        <v>1085.1190170445298</v>
      </c>
      <c r="H36">
        <f t="shared" si="1"/>
        <v>26.511437932011148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Contract Theory</vt:lpstr>
      <vt:lpstr>Monte Carlo pricing</vt:lpstr>
      <vt:lpstr>Simulation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Aula</dc:creator>
  <cp:lastModifiedBy>PASSARINI YURI (MPS-03103)</cp:lastModifiedBy>
  <dcterms:created xsi:type="dcterms:W3CDTF">2018-03-16T14:06:22Z</dcterms:created>
  <dcterms:modified xsi:type="dcterms:W3CDTF">2023-09-30T21:10:06Z</dcterms:modified>
</cp:coreProperties>
</file>